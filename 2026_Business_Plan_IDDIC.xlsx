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Arial"/>
      <color rgb="FF000000"/>
      <sz val="10"/>
      <scheme val="minor"/>
    </font>
    <font>
      <name val="-webkit-standard"/>
      <b val="1"/>
      <color rgb="FF000000"/>
      <sz val="9"/>
    </font>
    <font>
      <name val="-webkit-standard"/>
      <color rgb="FF000000"/>
      <sz val="9"/>
    </font>
    <font>
      <name val="Arial"/>
      <color rgb="FF000000"/>
      <sz val="9"/>
    </font>
  </fonts>
  <fills count="4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EAF9"/>
        <bgColor rgb="FFD8EAF9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10" fontId="2" fillId="0" borderId="0" applyAlignment="1" pivotButton="0" quotePrefix="0" xfId="0">
      <alignment horizontal="left" vertical="top" wrapText="1"/>
    </xf>
    <xf numFmtId="9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164" fontId="2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2" authorId="0" shapeId="0">
      <text>
        <t>Les hypothèses, charges, financements et investissements sont à saisir par les étudiants. Les résultats se calculent automatiquement. Saisir 0 pour un poste sans montant ; les totaux restent vides tant qu'aucun poste du bloc n'est renseigné. Les montants correspondent à une année complète et doivent utiliser une même devise.</t>
      </text>
    </comment>
    <comment ref="A4" authorId="0" shapeId="0">
      <text>
        <t>Taux annuel de croissance du marché. Saisir par exemple 5 % et non 5. En années 2 et 3, la taille du marché = taille de l'année précédente × (1 + taux de progression). Saisir 0 % si le marché est stable. Le taux de l'année 1 est informatif : la taille du marché de l'année 1 est saisie directement.</t>
      </text>
    </comment>
    <comment ref="A5" authorId="0" shapeId="0">
      <text>
        <t>Marché annuel exprimé en volume (unités vendables par an), dans la même unité que les quantités vendues, et non en chiffre d'affaires. Saisir la taille du marché en année 1 ; les années 2 et 3 sont calculées.</t>
      </text>
    </comment>
    <comment ref="A6" authorId="0" shapeId="0">
      <text>
        <t>Part de marché visée pour chaque année. Saisir par exemple 2 %. Les quantités vendues = taille du marché × part de marché.</t>
      </text>
    </comment>
    <comment ref="A8" authorId="0" shapeId="0">
      <text>
        <t>Prix de vente hors taxes par unité, dans la même devise que les charges et le plan de financement.</t>
      </text>
    </comment>
    <comment ref="A28" authorId="0" shapeId="0">
      <text>
        <t>Reprise automatique de l'EBE du compte de résultat de la même année, y compris lorsqu'il est négatif. Cette ligne conserve la simplification du modèle fourni.</t>
      </text>
    </comment>
    <comment ref="A42" authorId="0" shapeId="0">
      <text>
        <t>Année 1 : saisir la trésorerie disponible au démarrage (0 si aucune), avant les nouveaux apports et emprunts indiqués dans les ressources, pour éviter de les compter deux fois. Années 2 et 3 : reprise automatique de la trésorerie finale de l'année précédente.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3"/>
  <sheetViews>
    <sheetView workbookViewId="0">
      <selection activeCell="A1" sqref="A1"/>
    </sheetView>
  </sheetViews>
  <sheetFormatPr baseColWidth="8" defaultColWidth="12.63" defaultRowHeight="15.75" customHeight="1"/>
  <cols>
    <col width="44.63" customWidth="1" style="13" min="1" max="1"/>
  </cols>
  <sheetData>
    <row r="1">
      <c r="A1" s="1" t="inlineStr">
        <is>
          <t>I - COMPTE DE RESULTAT PREVISIONNEL</t>
        </is>
      </c>
    </row>
    <row r="2">
      <c r="A2" s="10" t="inlineStr">
        <is>
          <t>ANNEES</t>
        </is>
      </c>
      <c r="B2" s="3" t="inlineStr">
        <is>
          <t>ANNEE 1</t>
        </is>
      </c>
      <c r="C2" s="3" t="inlineStr">
        <is>
          <t>ANNEE 2</t>
        </is>
      </c>
      <c r="D2" s="3" t="inlineStr">
        <is>
          <t>ANNEE 3</t>
        </is>
      </c>
    </row>
    <row r="3">
      <c r="A3" s="4" t="inlineStr">
        <is>
          <t>PRODUITS EXPLOITATION</t>
        </is>
      </c>
      <c r="B3" s="5" t="n"/>
      <c r="C3" s="5" t="n"/>
      <c r="D3" s="5" t="n"/>
    </row>
    <row r="4">
      <c r="A4" s="10" t="inlineStr">
        <is>
          <t>PROGRESSION DU MARCHE</t>
        </is>
      </c>
      <c r="B4" s="14" t="n">
        <v>0.05</v>
      </c>
      <c r="C4" s="15" t="n">
        <v>0.05</v>
      </c>
      <c r="D4" s="14" t="n">
        <v>0.05</v>
      </c>
    </row>
    <row r="5">
      <c r="A5" s="10" t="inlineStr">
        <is>
          <t>TAILLE DU MARCHE</t>
        </is>
      </c>
      <c r="B5" s="8" t="n">
        <v>250000</v>
      </c>
      <c r="C5" s="9">
        <f>IF(OR(B5="",C4=""),"",B5*(1+C4))</f>
        <v/>
      </c>
      <c r="D5" s="9">
        <f>IF(OR(C5="",D4=""),"",C5*(1+D4))</f>
        <v/>
      </c>
    </row>
    <row r="6">
      <c r="A6" s="10" t="inlineStr">
        <is>
          <t>PART DE MARCHE</t>
        </is>
      </c>
      <c r="B6" s="14" t="n">
        <v>0.002</v>
      </c>
      <c r="C6" s="14" t="n">
        <v>0.006</v>
      </c>
      <c r="D6" s="14" t="n">
        <v>0.012</v>
      </c>
    </row>
    <row r="7">
      <c r="A7" s="10" t="inlineStr">
        <is>
          <t>QUANTITES VENDUES</t>
        </is>
      </c>
      <c r="B7" s="8" t="n">
        <v>500</v>
      </c>
      <c r="C7" s="9">
        <f>IF(OR(C5="",C6=""),"",C5*C6)</f>
        <v/>
      </c>
      <c r="D7" s="9">
        <f>IF(OR(D5="",D6=""),"",D5*D6)</f>
        <v/>
      </c>
    </row>
    <row r="8">
      <c r="A8" s="10" t="inlineStr">
        <is>
          <t>PRIX DE VENTE UNITAIRE</t>
        </is>
      </c>
      <c r="B8" s="8" t="n">
        <v>108</v>
      </c>
      <c r="C8" s="10" t="n">
        <v>108</v>
      </c>
      <c r="D8" s="10" t="n">
        <v>108</v>
      </c>
    </row>
    <row r="9">
      <c r="A9" s="11" t="inlineStr">
        <is>
          <t>CHIFFRE D’AFFAIRES HORS TAXES</t>
        </is>
      </c>
      <c r="B9" s="9">
        <f>IF(OR(B7="",B8=""),"",B7*B8)</f>
        <v/>
      </c>
      <c r="C9" s="9">
        <f>IF(OR(C7="",C8=""),"",C7*C8)</f>
        <v/>
      </c>
      <c r="D9" s="9">
        <f>IF(OR(D7="",D8=""),"",D7*D8)</f>
        <v/>
      </c>
    </row>
    <row r="10">
      <c r="A10" s="4" t="inlineStr">
        <is>
          <t>CHARGES EXPLOITATION</t>
        </is>
      </c>
      <c r="B10" s="5" t="n"/>
      <c r="C10" s="5" t="n"/>
      <c r="D10" s="5" t="n"/>
    </row>
    <row r="11">
      <c r="A11" s="10" t="inlineStr">
        <is>
          <t>ACHATS MARCHANDISES</t>
        </is>
      </c>
      <c r="B11" s="10" t="n">
        <v>0</v>
      </c>
      <c r="C11" s="10" t="n">
        <v>0</v>
      </c>
      <c r="D11" s="10" t="n">
        <v>0</v>
      </c>
    </row>
    <row r="12">
      <c r="A12" s="10" t="inlineStr">
        <is>
          <t>ACHATS MATIERES PREMIERES</t>
        </is>
      </c>
      <c r="B12" s="10" t="n">
        <v>0</v>
      </c>
      <c r="C12" s="10" t="n">
        <v>0</v>
      </c>
      <c r="D12" s="10" t="n">
        <v>0</v>
      </c>
    </row>
    <row r="13">
      <c r="A13" s="10" t="inlineStr">
        <is>
          <t>LOYERS</t>
        </is>
      </c>
      <c r="B13" s="10" t="n">
        <v>0</v>
      </c>
      <c r="C13" s="10" t="n">
        <v>0</v>
      </c>
      <c r="D13" s="10" t="n">
        <v>0</v>
      </c>
    </row>
    <row r="14">
      <c r="A14" s="10" t="inlineStr">
        <is>
          <t>PUBLICITE</t>
        </is>
      </c>
      <c r="B14" s="10" t="n">
        <v>15000</v>
      </c>
      <c r="C14" s="10" t="n">
        <v>25000</v>
      </c>
      <c r="D14" s="10" t="n">
        <v>35000</v>
      </c>
    </row>
    <row r="15">
      <c r="A15" s="10" t="inlineStr">
        <is>
          <t>FRAIS DEPLACEMENT</t>
        </is>
      </c>
      <c r="B15" s="10" t="n">
        <v>3000</v>
      </c>
      <c r="C15" s="10" t="n">
        <v>4000</v>
      </c>
      <c r="D15" s="10" t="n">
        <v>5000</v>
      </c>
    </row>
    <row r="16">
      <c r="A16" s="10" t="inlineStr">
        <is>
          <t>TELEPHONIE</t>
        </is>
      </c>
      <c r="B16" s="10" t="n">
        <v>1200</v>
      </c>
      <c r="C16" s="10" t="n">
        <v>1500</v>
      </c>
      <c r="D16" s="10" t="n">
        <v>2000</v>
      </c>
    </row>
    <row r="17">
      <c r="A17" s="10" t="inlineStr">
        <is>
          <t>MAINTENANCE MATERIELS</t>
        </is>
      </c>
      <c r="B17" s="10" t="n">
        <v>2400</v>
      </c>
      <c r="C17" s="10" t="n">
        <v>3600</v>
      </c>
      <c r="D17" s="10" t="n">
        <v>4800</v>
      </c>
    </row>
    <row r="18">
      <c r="A18" s="10" t="inlineStr">
        <is>
          <t>SOUS-TRAITANCE</t>
        </is>
      </c>
      <c r="B18" s="10" t="n">
        <v>20000</v>
      </c>
      <c r="C18" s="10" t="n">
        <v>50250</v>
      </c>
      <c r="D18" s="10" t="n">
        <v>102225</v>
      </c>
    </row>
    <row r="19">
      <c r="A19" s="10" t="inlineStr">
        <is>
          <t>IMPOTS ET TAXES</t>
        </is>
      </c>
      <c r="B19" s="10" t="n">
        <v>500</v>
      </c>
      <c r="C19" s="10" t="n">
        <v>1500</v>
      </c>
      <c r="D19" s="10" t="n">
        <v>3000</v>
      </c>
    </row>
    <row r="20">
      <c r="A20" s="10" t="inlineStr">
        <is>
          <t>SALAIRES ET TRAITEMENTS</t>
        </is>
      </c>
      <c r="B20" s="10" t="n">
        <v>30000</v>
      </c>
      <c r="C20" s="10" t="n">
        <v>50000</v>
      </c>
      <c r="D20" s="10" t="n">
        <v>120000</v>
      </c>
    </row>
    <row r="21">
      <c r="A21" s="10" t="inlineStr">
        <is>
          <t>CHARGES SOCIALES</t>
        </is>
      </c>
      <c r="B21" s="10" t="n">
        <v>12600</v>
      </c>
      <c r="C21" s="10" t="n">
        <v>21000</v>
      </c>
      <c r="D21" s="10" t="n">
        <v>50400</v>
      </c>
    </row>
    <row r="22">
      <c r="A22" s="11" t="inlineStr">
        <is>
          <t>TOTAL DES CHARGES D’EXPLOITATION</t>
        </is>
      </c>
      <c r="B22" s="9">
        <f>IF(COUNT(B11:B21)=0,"",SUM(B11:B21))</f>
        <v/>
      </c>
      <c r="C22" s="9">
        <f>IF(COUNT(C11:C21)=0,"",SUM(C11:C21))</f>
        <v/>
      </c>
      <c r="D22" s="9">
        <f>IF(COUNT(D11:D21)=0,"",SUM(D11:D21))</f>
        <v/>
      </c>
    </row>
    <row r="23">
      <c r="A23" s="11" t="inlineStr">
        <is>
          <t>EXCEDENT BRUT EXPLOITATION (EBE ou EBITA)</t>
        </is>
      </c>
      <c r="B23" s="9">
        <f>IF(OR(B9="",B22=""),"",B9-B22)</f>
        <v/>
      </c>
      <c r="C23" s="9">
        <f>IF(OR(C9="",C22=""),"",C9-C22)</f>
        <v/>
      </c>
      <c r="D23" s="9">
        <f>IF(OR(D9="",D22=""),"",D9-D22)</f>
        <v/>
      </c>
    </row>
    <row r="24">
      <c r="A24" s="12" t="n"/>
    </row>
    <row r="25">
      <c r="A25" s="1" t="inlineStr">
        <is>
          <t>II – PLAN DE FINANCEMENT</t>
        </is>
      </c>
    </row>
    <row r="26">
      <c r="A26" s="10" t="inlineStr">
        <is>
          <t>ANNEES</t>
        </is>
      </c>
      <c r="B26" s="3" t="inlineStr">
        <is>
          <t>ANNEE 1</t>
        </is>
      </c>
      <c r="C26" s="3" t="inlineStr">
        <is>
          <t>ANNEE 2</t>
        </is>
      </c>
      <c r="D26" s="3" t="inlineStr">
        <is>
          <t>ANNEE 3</t>
        </is>
      </c>
    </row>
    <row r="27">
      <c r="A27" s="4" t="inlineStr">
        <is>
          <t>RESSOURCES</t>
        </is>
      </c>
      <c r="B27" s="5" t="n"/>
      <c r="C27" s="5" t="n"/>
      <c r="D27" s="5" t="n"/>
    </row>
    <row r="28">
      <c r="A28" s="10" t="inlineStr">
        <is>
          <t>EBE</t>
        </is>
      </c>
      <c r="B28" s="9">
        <f>IF(B23="","",B23)</f>
        <v/>
      </c>
      <c r="C28" s="9">
        <f>IF(C23="","",C23)</f>
        <v/>
      </c>
      <c r="D28" s="9">
        <f>IF(D23="","",D23)</f>
        <v/>
      </c>
    </row>
    <row r="29">
      <c r="A29" s="10" t="inlineStr">
        <is>
          <t>APPORT EN CAPITAL</t>
        </is>
      </c>
      <c r="B29" s="10" t="n">
        <v>10000</v>
      </c>
      <c r="C29" s="10" t="n">
        <v>0</v>
      </c>
      <c r="D29" s="10" t="n">
        <v>0</v>
      </c>
    </row>
    <row r="30">
      <c r="A30" s="10" t="inlineStr">
        <is>
          <t>APPORT EN COOMPTE COURANT ASSOCIES</t>
        </is>
      </c>
      <c r="B30" s="10" t="n">
        <v>0</v>
      </c>
      <c r="C30" s="10" t="n">
        <v>0</v>
      </c>
      <c r="D30" s="10" t="n">
        <v>0</v>
      </c>
    </row>
    <row r="31">
      <c r="A31" s="10" t="inlineStr">
        <is>
          <t>SUBVENTION INVESTISSEMENT</t>
        </is>
      </c>
      <c r="B31" s="10" t="n">
        <v>15000</v>
      </c>
      <c r="C31" s="10" t="n">
        <v>0</v>
      </c>
      <c r="D31" s="10" t="n">
        <v>0</v>
      </c>
    </row>
    <row r="32">
      <c r="A32" s="10" t="inlineStr">
        <is>
          <t>EMPRUNT BANCAIRE</t>
        </is>
      </c>
      <c r="B32" s="10" t="n">
        <v>50000</v>
      </c>
      <c r="C32" s="10" t="n">
        <v>0</v>
      </c>
      <c r="D32" s="10" t="n">
        <v>0</v>
      </c>
    </row>
    <row r="33">
      <c r="A33" s="4" t="inlineStr">
        <is>
          <t>TOTAL DES RESSOURCES (1)</t>
        </is>
      </c>
      <c r="B33" s="9">
        <f>IF(B28="","",SUM(B28:B32))</f>
        <v/>
      </c>
      <c r="C33" s="9">
        <f>IF(C28="","",SUM(C28:C32))</f>
        <v/>
      </c>
      <c r="D33" s="9">
        <f>IF(D28="","",SUM(D28:D32))</f>
        <v/>
      </c>
    </row>
    <row r="34">
      <c r="A34" s="4" t="inlineStr">
        <is>
          <t>EMPLOIS</t>
        </is>
      </c>
      <c r="B34" s="5" t="n"/>
      <c r="C34" s="5" t="n"/>
      <c r="D34" s="5" t="n"/>
    </row>
    <row r="35">
      <c r="A35" s="10" t="inlineStr">
        <is>
          <t>INVESTISSEMENTS INCORPORELS</t>
        </is>
      </c>
      <c r="B35" s="10" t="n">
        <v>30000</v>
      </c>
      <c r="C35" s="10" t="n">
        <v>5000</v>
      </c>
      <c r="D35" s="10" t="n">
        <v>5000</v>
      </c>
    </row>
    <row r="36">
      <c r="A36" s="10" t="inlineStr">
        <is>
          <t>INVESTISSEMENTS CORPORELS</t>
        </is>
      </c>
      <c r="B36" s="10" t="n">
        <v>4000</v>
      </c>
      <c r="C36" s="10" t="n">
        <v>1000</v>
      </c>
      <c r="D36" s="10" t="n">
        <v>1000</v>
      </c>
    </row>
    <row r="37">
      <c r="A37" s="10" t="inlineStr">
        <is>
          <t>INVESTISSEMENTS FINANCIERS</t>
        </is>
      </c>
      <c r="B37" s="10" t="n">
        <v>0</v>
      </c>
      <c r="C37" s="10" t="n">
        <v>0</v>
      </c>
      <c r="D37" s="10" t="n">
        <v>0</v>
      </c>
    </row>
    <row r="38">
      <c r="A38" s="10" t="inlineStr">
        <is>
          <t>AUGMENTATION DU BESOIN EN FONDS DE ROULEMENT</t>
        </is>
      </c>
      <c r="B38" s="10" t="n">
        <v>0</v>
      </c>
      <c r="C38" s="10" t="n">
        <v>0</v>
      </c>
      <c r="D38" s="10" t="n">
        <v>0</v>
      </c>
    </row>
    <row r="39">
      <c r="A39" s="10" t="inlineStr">
        <is>
          <t>REMBOURSEMENT EMPRUNT BANCAIRE</t>
        </is>
      </c>
      <c r="B39" s="10" t="n">
        <v>0</v>
      </c>
      <c r="C39" s="10" t="n">
        <v>8000</v>
      </c>
      <c r="D39" s="10" t="n">
        <v>8000</v>
      </c>
    </row>
    <row r="40">
      <c r="A40" s="4" t="inlineStr">
        <is>
          <t>TOTAL DES EMPLOIS (2)</t>
        </is>
      </c>
      <c r="B40" s="9">
        <f>IF(COUNT(B35:B39)=0,"",SUM(B35:B39))</f>
        <v/>
      </c>
      <c r="C40" s="9">
        <f>IF(COUNT(C35:C39)=0,"",SUM(C35:C39))</f>
        <v/>
      </c>
      <c r="D40" s="9">
        <f>IF(COUNT(D35:D39)=0,"",SUM(D35:D39))</f>
        <v/>
      </c>
    </row>
    <row r="41">
      <c r="A41" s="11" t="inlineStr">
        <is>
          <t>VARIATION DE LA TRESORERIE = (1) – (2)</t>
        </is>
      </c>
      <c r="B41" s="9">
        <f>IF(OR(B33="",B40=""),"",B33-B40)</f>
        <v/>
      </c>
      <c r="C41" s="9">
        <f>IF(OR(C33="",C40=""),"",C33-C40)</f>
        <v/>
      </c>
      <c r="D41" s="9">
        <f>IF(OR(D33="",D40=""),"",D33-D40)</f>
        <v/>
      </c>
    </row>
    <row r="42">
      <c r="A42" s="11" t="inlineStr">
        <is>
          <t>TRESORERIE INITIALE</t>
        </is>
      </c>
      <c r="B42" s="10" t="n">
        <v>0</v>
      </c>
      <c r="C42" s="9">
        <f>IF(B43="","",B43)</f>
        <v/>
      </c>
      <c r="D42" s="9">
        <f>IF(C43="","",C43)</f>
        <v/>
      </c>
    </row>
    <row r="43">
      <c r="A43" s="11" t="inlineStr">
        <is>
          <t>TRESORERIE FINALE</t>
        </is>
      </c>
      <c r="B43" s="9">
        <f>IF(OR(B42="",B41=""),"",B42+B41)</f>
        <v/>
      </c>
      <c r="C43" s="9">
        <f>IF(OR(C42="",C41=""),"",C42+C41)</f>
        <v/>
      </c>
      <c r="D43" s="9">
        <f>IF(OR(D42="",D41=""),"",D42+D41)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2026-10-15T07:48:12Z</dcterms:created>
  <dcterms:modified xmlns:dcterms="http://purl.org/dc/terms/" xmlns:xsi="http://www.w3.org/2001/XMLSchema-instance" xsi:type="dcterms:W3CDTF">2026-10-15T07:48:12Z</dcterms:modified>
</cp:coreProperties>
</file>